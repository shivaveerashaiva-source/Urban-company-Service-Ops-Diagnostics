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-Category Data" sheetId="1" state="visible" r:id="rId1"/>
    <sheet xmlns:r="http://schemas.openxmlformats.org/officeDocument/2006/relationships"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category</t>
        </is>
      </c>
      <c r="C1" t="inlineStr">
        <is>
          <t>bookings_count</t>
        </is>
      </c>
      <c r="D1" t="inlineStr">
        <is>
          <t>revenue_inr</t>
        </is>
      </c>
      <c r="E1" t="inlineStr">
        <is>
          <t>sla_breaches</t>
        </is>
      </c>
    </row>
    <row r="2">
      <c r="A2" t="inlineStr">
        <is>
          <t>Bengaluru</t>
        </is>
      </c>
      <c r="B2" t="inlineStr">
        <is>
          <t>AC Repair &amp; Service</t>
        </is>
      </c>
      <c r="C2" t="n">
        <v>40</v>
      </c>
      <c r="D2" t="n">
        <v>61229</v>
      </c>
      <c r="E2" t="n">
        <v>7</v>
      </c>
    </row>
    <row r="3">
      <c r="A3" t="inlineStr">
        <is>
          <t>Bengaluru</t>
        </is>
      </c>
      <c r="B3" t="inlineStr">
        <is>
          <t>Deep Home Cleaning</t>
        </is>
      </c>
      <c r="C3" t="n">
        <v>18</v>
      </c>
      <c r="D3" t="n">
        <v>49592</v>
      </c>
      <c r="E3" t="n">
        <v>2</v>
      </c>
    </row>
    <row r="4">
      <c r="A4" t="inlineStr">
        <is>
          <t>Bengaluru</t>
        </is>
      </c>
      <c r="B4" t="inlineStr">
        <is>
          <t>Electrical Repair</t>
        </is>
      </c>
      <c r="C4" t="n">
        <v>19</v>
      </c>
      <c r="D4" t="n">
        <v>23082</v>
      </c>
      <c r="E4" t="n">
        <v>3</v>
      </c>
    </row>
    <row r="5">
      <c r="A5" t="inlineStr">
        <is>
          <t>Bengaluru</t>
        </is>
      </c>
      <c r="B5" t="inlineStr">
        <is>
          <t>Salon for Men</t>
        </is>
      </c>
      <c r="C5" t="n">
        <v>14</v>
      </c>
      <c r="D5" t="n">
        <v>13565</v>
      </c>
      <c r="E5" t="n">
        <v>3</v>
      </c>
    </row>
    <row r="6">
      <c r="A6" t="inlineStr">
        <is>
          <t>Bengaluru</t>
        </is>
      </c>
      <c r="B6" t="inlineStr">
        <is>
          <t>Salon for Women</t>
        </is>
      </c>
      <c r="C6" t="n">
        <v>16</v>
      </c>
      <c r="D6" t="n">
        <v>32367</v>
      </c>
      <c r="E6" t="n">
        <v>2</v>
      </c>
    </row>
    <row r="7">
      <c r="A7" t="inlineStr">
        <is>
          <t>Chennai</t>
        </is>
      </c>
      <c r="B7" t="inlineStr">
        <is>
          <t>Deep Home Cleaning</t>
        </is>
      </c>
      <c r="C7" t="n">
        <v>37</v>
      </c>
      <c r="D7" t="n">
        <v>109499</v>
      </c>
      <c r="E7" t="n">
        <v>5</v>
      </c>
    </row>
    <row r="8">
      <c r="A8" t="inlineStr">
        <is>
          <t>Chennai</t>
        </is>
      </c>
      <c r="B8" t="inlineStr">
        <is>
          <t>Electrical Repair</t>
        </is>
      </c>
      <c r="C8" t="n">
        <v>13</v>
      </c>
      <c r="D8" t="n">
        <v>13044</v>
      </c>
      <c r="E8" t="n">
        <v>1</v>
      </c>
    </row>
    <row r="9">
      <c r="A9" t="inlineStr">
        <is>
          <t>Chennai</t>
        </is>
      </c>
      <c r="B9" t="inlineStr">
        <is>
          <t>Plumbing</t>
        </is>
      </c>
      <c r="C9" t="n">
        <v>63</v>
      </c>
      <c r="D9" t="n">
        <v>53029</v>
      </c>
      <c r="E9" t="n">
        <v>9</v>
      </c>
    </row>
    <row r="10">
      <c r="A10" t="inlineStr">
        <is>
          <t>Delhi NCR</t>
        </is>
      </c>
      <c r="B10" t="inlineStr">
        <is>
          <t>AC Repair &amp; Service</t>
        </is>
      </c>
      <c r="C10" t="n">
        <v>14</v>
      </c>
      <c r="D10" t="n">
        <v>22760</v>
      </c>
      <c r="E10" t="n">
        <v>0</v>
      </c>
    </row>
    <row r="11">
      <c r="A11" t="inlineStr">
        <is>
          <t>Delhi NCR</t>
        </is>
      </c>
      <c r="B11" t="inlineStr">
        <is>
          <t>Deep Home Cleaning</t>
        </is>
      </c>
      <c r="C11" t="n">
        <v>25</v>
      </c>
      <c r="D11" t="n">
        <v>63041</v>
      </c>
      <c r="E11" t="n">
        <v>0</v>
      </c>
    </row>
    <row r="12">
      <c r="A12" t="inlineStr">
        <is>
          <t>Delhi NCR</t>
        </is>
      </c>
      <c r="B12" t="inlineStr">
        <is>
          <t>Electrical Repair</t>
        </is>
      </c>
      <c r="C12" t="n">
        <v>12</v>
      </c>
      <c r="D12" t="n">
        <v>12585</v>
      </c>
      <c r="E12" t="n">
        <v>1</v>
      </c>
    </row>
    <row r="13">
      <c r="A13" t="inlineStr">
        <is>
          <t>Delhi NCR</t>
        </is>
      </c>
      <c r="B13" t="inlineStr">
        <is>
          <t>Plumbing</t>
        </is>
      </c>
      <c r="C13" t="n">
        <v>19</v>
      </c>
      <c r="D13" t="n">
        <v>16065</v>
      </c>
      <c r="E13" t="n">
        <v>3</v>
      </c>
    </row>
    <row r="14">
      <c r="A14" t="inlineStr">
        <is>
          <t>Delhi NCR</t>
        </is>
      </c>
      <c r="B14" t="inlineStr">
        <is>
          <t>Salon for Women</t>
        </is>
      </c>
      <c r="C14" t="n">
        <v>13</v>
      </c>
      <c r="D14" t="n">
        <v>26320</v>
      </c>
      <c r="E14" t="n">
        <v>2</v>
      </c>
    </row>
    <row r="15">
      <c r="A15" t="inlineStr">
        <is>
          <t>Hyderabad</t>
        </is>
      </c>
      <c r="B15" t="inlineStr">
        <is>
          <t>Deep Home Cleaning</t>
        </is>
      </c>
      <c r="C15" t="n">
        <v>29</v>
      </c>
      <c r="D15" t="n">
        <v>91425</v>
      </c>
      <c r="E15" t="n">
        <v>4</v>
      </c>
    </row>
    <row r="16">
      <c r="A16" t="inlineStr">
        <is>
          <t>Hyderabad</t>
        </is>
      </c>
      <c r="B16" t="inlineStr">
        <is>
          <t>Electrical Repair</t>
        </is>
      </c>
      <c r="C16" t="n">
        <v>27</v>
      </c>
      <c r="D16" t="n">
        <v>29032</v>
      </c>
      <c r="E16" t="n">
        <v>3</v>
      </c>
    </row>
    <row r="17">
      <c r="A17" t="inlineStr">
        <is>
          <t>Hyderabad</t>
        </is>
      </c>
      <c r="B17" t="inlineStr">
        <is>
          <t>Plumbing</t>
        </is>
      </c>
      <c r="C17" t="n">
        <v>13</v>
      </c>
      <c r="D17" t="n">
        <v>11743</v>
      </c>
      <c r="E17" t="n">
        <v>1</v>
      </c>
    </row>
    <row r="18">
      <c r="A18" t="inlineStr">
        <is>
          <t>Hyderabad</t>
        </is>
      </c>
      <c r="B18" t="inlineStr">
        <is>
          <t>Salon for Men</t>
        </is>
      </c>
      <c r="C18" t="n">
        <v>23</v>
      </c>
      <c r="D18" t="n">
        <v>22289</v>
      </c>
      <c r="E18" t="n">
        <v>5</v>
      </c>
    </row>
    <row r="19">
      <c r="A19" t="inlineStr">
        <is>
          <t>Hyderabad</t>
        </is>
      </c>
      <c r="B19" t="inlineStr">
        <is>
          <t>Salon for Women</t>
        </is>
      </c>
      <c r="C19" t="n">
        <v>6</v>
      </c>
      <c r="D19" t="n">
        <v>17149</v>
      </c>
      <c r="E19" t="n">
        <v>1</v>
      </c>
    </row>
    <row r="20">
      <c r="A20" t="inlineStr">
        <is>
          <t>Mumbai</t>
        </is>
      </c>
      <c r="B20" t="inlineStr">
        <is>
          <t>AC Repair &amp; Service</t>
        </is>
      </c>
      <c r="C20" t="n">
        <v>20</v>
      </c>
      <c r="D20" t="n">
        <v>29050</v>
      </c>
      <c r="E20" t="n">
        <v>4</v>
      </c>
    </row>
    <row r="21">
      <c r="A21" t="inlineStr">
        <is>
          <t>Mumbai</t>
        </is>
      </c>
      <c r="B21" t="inlineStr">
        <is>
          <t>Deep Home Cleaning</t>
        </is>
      </c>
      <c r="C21" t="n">
        <v>28</v>
      </c>
      <c r="D21" t="n">
        <v>73938</v>
      </c>
      <c r="E21" t="n">
        <v>1</v>
      </c>
    </row>
    <row r="22">
      <c r="A22" t="inlineStr">
        <is>
          <t>Mumbai</t>
        </is>
      </c>
      <c r="B22" t="inlineStr">
        <is>
          <t>Electrical Repair</t>
        </is>
      </c>
      <c r="C22" t="n">
        <v>11</v>
      </c>
      <c r="D22" t="n">
        <v>11360</v>
      </c>
      <c r="E22" t="n">
        <v>2</v>
      </c>
    </row>
    <row r="23">
      <c r="A23" t="inlineStr">
        <is>
          <t>Mumbai</t>
        </is>
      </c>
      <c r="B23" t="inlineStr">
        <is>
          <t>Salon for Men</t>
        </is>
      </c>
      <c r="C23" t="n">
        <v>27</v>
      </c>
      <c r="D23" t="n">
        <v>23901</v>
      </c>
      <c r="E23" t="n">
        <v>5</v>
      </c>
    </row>
    <row r="24">
      <c r="A24" t="inlineStr">
        <is>
          <t>Mumbai</t>
        </is>
      </c>
      <c r="B24" t="inlineStr">
        <is>
          <t>Salon for Women</t>
        </is>
      </c>
      <c r="C24" t="n">
        <v>6</v>
      </c>
      <c r="D24" t="n">
        <v>13181</v>
      </c>
      <c r="E24" t="n">
        <v>1</v>
      </c>
    </row>
    <row r="25">
      <c r="A25" t="inlineStr">
        <is>
          <t>Pune</t>
        </is>
      </c>
      <c r="B25" t="inlineStr">
        <is>
          <t>Deep Home Cleaning</t>
        </is>
      </c>
      <c r="C25" t="n">
        <v>39</v>
      </c>
      <c r="D25" t="n">
        <v>121469</v>
      </c>
      <c r="E25" t="n">
        <v>9</v>
      </c>
    </row>
    <row r="26">
      <c r="A26" t="inlineStr">
        <is>
          <t>Pune</t>
        </is>
      </c>
      <c r="B26" t="inlineStr">
        <is>
          <t>Electrical Repair</t>
        </is>
      </c>
      <c r="C26" t="n">
        <v>30</v>
      </c>
      <c r="D26" t="n">
        <v>30778</v>
      </c>
      <c r="E26" t="n">
        <v>3</v>
      </c>
    </row>
    <row r="27">
      <c r="A27" t="inlineStr">
        <is>
          <t>Pune</t>
        </is>
      </c>
      <c r="B27" t="inlineStr">
        <is>
          <t>Salon for Men</t>
        </is>
      </c>
      <c r="C27" t="n">
        <v>14</v>
      </c>
      <c r="D27" t="n">
        <v>13808</v>
      </c>
      <c r="E27" t="n">
        <v>1</v>
      </c>
    </row>
    <row r="28">
      <c r="A28" t="inlineStr">
        <is>
          <t>Pune</t>
        </is>
      </c>
      <c r="B28" t="inlineStr">
        <is>
          <t>Salon for Women</t>
        </is>
      </c>
      <c r="C28" t="n">
        <v>24</v>
      </c>
      <c r="D28" t="n">
        <v>62672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Revenue</t>
        </is>
      </c>
      <c r="C1" t="inlineStr">
        <is>
          <t>Bookings</t>
        </is>
      </c>
      <c r="D1" t="inlineStr">
        <is>
          <t>Category Count</t>
        </is>
      </c>
      <c r="E1" t="inlineStr">
        <is>
          <t>Target</t>
        </is>
      </c>
      <c r="F1" t="inlineStr">
        <is>
          <t>Target Met</t>
        </is>
      </c>
    </row>
    <row r="2">
      <c r="A2" t="inlineStr">
        <is>
          <t>Bengaluru</t>
        </is>
      </c>
      <c r="B2">
        <f>SUMIFS('City-Category Data'!$E$2:$E$28,'City-Category Data'!$A$2:$A$28,"Bengaluru")</f>
        <v/>
      </c>
      <c r="C2">
        <f>SUMIFS('City-Category Data'!$D$2:$D$28,'City-Category Data'!$A$2:$A$28,"Bengaluru")</f>
        <v/>
      </c>
      <c r="D2">
        <f>COUNTIFS('City-Category Data'!$A$2:$A$28,"Bengaluru")</f>
        <v/>
      </c>
      <c r="E2" t="n">
        <v>150000</v>
      </c>
      <c r="F2">
        <f>IF(B2=E2,"Yes","No")</f>
        <v/>
      </c>
    </row>
    <row r="3">
      <c r="A3" t="inlineStr">
        <is>
          <t>Mumbai</t>
        </is>
      </c>
      <c r="B3">
        <f>SUMIFS('City-Category Data'!$E$2:$E$28,'City-Category Data'!$A$2:$A$28,"Mumbai")</f>
        <v/>
      </c>
      <c r="C3">
        <f>SUMIFS('City-Category Data'!$D$2:$D$28,'City-Category Data'!$A$2:$A$28,"Mumbai")</f>
        <v/>
      </c>
      <c r="D3">
        <f>COUNTIFS('City-Category Data'!$A$2:$A$28,"Mumbai")</f>
        <v/>
      </c>
      <c r="E3" t="n">
        <v>150000</v>
      </c>
      <c r="F3">
        <f>IF(B3=E3,"Yes","No")</f>
        <v/>
      </c>
    </row>
    <row r="4">
      <c r="A4" t="inlineStr">
        <is>
          <t>Delhi NCR</t>
        </is>
      </c>
      <c r="B4" s="1">
        <f>SUMIFS('City-Category Data'!$E$2:$E$28,'City-Category Data'!$A$2:$A$28,"Delhi NCR")</f>
        <v/>
      </c>
      <c r="C4">
        <f>SUMIFS('City-Category Data'!$D$2:$D$28,'City-Category Data'!$A$2:$A$28,"Delhi NCR")</f>
        <v/>
      </c>
      <c r="D4">
        <f>COUNTIFS('City-Category Data'!$A$2:$A$28,"Delhi NCR")</f>
        <v/>
      </c>
      <c r="E4" t="n">
        <v>150000</v>
      </c>
      <c r="F4">
        <f>IF(B4=E4,"Yes","No")</f>
        <v/>
      </c>
    </row>
    <row r="5">
      <c r="A5" t="inlineStr">
        <is>
          <t>Pune</t>
        </is>
      </c>
      <c r="B5" s="2">
        <f>SUMIFS('City-Category Data'!$E$2:$E$28,'City-Category Data'!$A$2:$A$28,"Pune")</f>
        <v/>
      </c>
      <c r="C5">
        <f>SUMIFS('City-Category Data'!$D$2:$D$28,'City-Category Data'!$A$2:$A$28,"Pune")</f>
        <v/>
      </c>
      <c r="D5">
        <f>COUNTIFS('City-Category Data'!$A$2:$A$28,"Pune")</f>
        <v/>
      </c>
      <c r="E5" t="n">
        <v>150000</v>
      </c>
      <c r="F5">
        <f>IF(B5=E5,"Yes","No")</f>
        <v/>
      </c>
    </row>
    <row r="6">
      <c r="A6" t="inlineStr">
        <is>
          <t>Hyderabad</t>
        </is>
      </c>
      <c r="B6">
        <f>SUMIFS('City-Category Data'!$E$2:$E$28,'City-Category Data'!$A$2:$A$28,"Hyderabad")</f>
        <v/>
      </c>
      <c r="C6">
        <f>SUMIFS('City-Category Data'!$D$2:$D$28,'City-Category Data'!$A$2:$A$28,"Hyderabad")</f>
        <v/>
      </c>
      <c r="D6">
        <f>COUNTIFS('City-Category Data'!$A$2:$A$28,"Hyderabad")</f>
        <v/>
      </c>
      <c r="E6" t="n">
        <v>150000</v>
      </c>
      <c r="F6">
        <f>IF(B6=E6,"Yes","No")</f>
        <v/>
      </c>
    </row>
    <row r="7">
      <c r="A7" t="inlineStr">
        <is>
          <t>Chennai</t>
        </is>
      </c>
      <c r="B7">
        <f>SUMIFS('City-Category Data'!$E$2:$E$28,'City-Category Data'!$A$2:$A$28,"Chennai")</f>
        <v/>
      </c>
      <c r="C7">
        <f>SUMIFS('City-Category Data'!$D$2:$D$28,'City-Category Data'!$A$2:$A$28,"Chennai")</f>
        <v/>
      </c>
      <c r="D7">
        <f>COUNTIFS('City-Category Data'!$A$2:$A$28,"Chennai")</f>
        <v/>
      </c>
      <c r="E7" t="n">
        <v>150000</v>
      </c>
      <c r="F7">
        <f>IF(B7=E7,"Yes","No")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2026-09-24T13:52:49Z</dcterms:created>
  <dcterms:modified xmlns:dcterms="http://purl.org/dc/terms/" xmlns:xsi="http://www.w3.org/2001/XMLSchema-instance" xsi:type="dcterms:W3CDTF">2026-09-24T13:52:49Z</dcterms:modified>
</cp:coreProperties>
</file>